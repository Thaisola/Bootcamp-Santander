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MAB - EQUIPE MULTIPROFISSIONAL\PROF. ED. FIS. - THAIS\"/>
    </mc:Choice>
  </mc:AlternateContent>
  <xr:revisionPtr revIDLastSave="0" documentId="13_ncr:1_{D0234244-6973-4E49-8383-43063789EBB3}" xr6:coauthVersionLast="47" xr6:coauthVersionMax="47" xr10:uidLastSave="{00000000-0000-0000-0000-000000000000}"/>
  <bookViews>
    <workbookView xWindow="-105" yWindow="0" windowWidth="14610" windowHeight="15585" xr2:uid="{7CD4393B-0E52-40A9-B616-B081842AD70A}"/>
  </bookViews>
  <sheets>
    <sheet name="Planilha1" sheetId="1" r:id="rId1"/>
    <sheet name="Planilha2" sheetId="2" r:id="rId2"/>
  </sheets>
  <definedNames>
    <definedName name="aporte">Planilha1!$D$15</definedName>
    <definedName name="patrimonio">Planilha1!$D$18</definedName>
    <definedName name="qtd_anos">Planilha1!$D$16</definedName>
    <definedName name="rendimento_carteira">Planilha1!$D$11</definedName>
    <definedName name="salario">Planilha1!$D$10</definedName>
    <definedName name="susgetao_investimento">Planilha1!$D$12</definedName>
    <definedName name="taxa_mensal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  <c r="D33" i="1" s="1"/>
  <c r="C34" i="1"/>
  <c r="D34" i="1" s="1"/>
  <c r="C35" i="1"/>
  <c r="D35" i="1" s="1"/>
  <c r="C36" i="1"/>
  <c r="D36" i="1" s="1"/>
  <c r="C37" i="1"/>
  <c r="D37" i="1" s="1"/>
  <c r="C32" i="1"/>
  <c r="D32" i="1" s="1"/>
  <c r="G6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29" i="1"/>
  <c r="D18" i="1"/>
  <c r="D19" i="1" s="1"/>
  <c r="D12" i="1"/>
  <c r="C23" i="1"/>
  <c r="D23" i="1" s="1"/>
  <c r="C24" i="1"/>
  <c r="D24" i="1" s="1"/>
  <c r="C25" i="1"/>
  <c r="D25" i="1" s="1"/>
  <c r="C26" i="1"/>
  <c r="D26" i="1" s="1"/>
  <c r="C22" i="1"/>
  <c r="D22" i="1" s="1"/>
  <c r="D38" i="1" l="1"/>
</calcChain>
</file>

<file path=xl/sharedStrings.xml><?xml version="1.0" encoding="utf-8"?>
<sst xmlns="http://schemas.openxmlformats.org/spreadsheetml/2006/main" count="71" uniqueCount="34">
  <si>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</si>
  <si>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</si>
  <si>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</si>
  <si>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</si>
  <si>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</si>
  <si>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</si>
  <si>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</si>
  <si>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</si>
  <si>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</si>
  <si>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</si>
  <si>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</si>
  <si>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</si>
  <si>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</si>
  <si>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</si>
  <si>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</si>
  <si>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Sugestão de Investimento</t>
  </si>
  <si>
    <t>CONFIGURAÇÕES</t>
  </si>
  <si>
    <t>AGRESSIVO</t>
  </si>
  <si>
    <t>CONSERVADOR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</si>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</sst>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/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56">
    <xf numFmtId="0" fontId="0" fillId="0" borderId="0" xfId="0"/>
    <xf numFmtId="0" fontId="2" fillId="0" borderId="0" xfId="0" applyFont="1"/>
    <xf numFmtId="8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/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64" fontId="8" fillId="0" borderId="3" xfId="1" applyNumberFormat="1" applyFont="1" applyBorder="1" applyAlignment="1">
      <alignment horizontal="center"/>
    </xf>
    <xf numFmtId="10" fontId="8" fillId="0" borderId="4" xfId="2" applyNumberFormat="1" applyFont="1" applyBorder="1" applyAlignment="1">
      <alignment horizontal="center"/>
    </xf>
    <xf numFmtId="164" fontId="9" fillId="0" borderId="23" xfId="1" applyNumberFormat="1" applyFont="1" applyBorder="1" applyAlignment="1">
      <alignment horizontal="center" vertical="center"/>
    </xf>
    <xf numFmtId="1" fontId="9" fillId="0" borderId="24" xfId="0" applyNumberFormat="1" applyFont="1" applyBorder="1" applyAlignment="1">
      <alignment horizontal="center"/>
    </xf>
    <xf numFmtId="8" fontId="8" fillId="7" borderId="9" xfId="0" applyNumberFormat="1" applyFont="1" applyFill="1" applyBorder="1" applyAlignment="1">
      <alignment horizontal="center"/>
    </xf>
    <xf numFmtId="8" fontId="8" fillId="7" borderId="11" xfId="0" applyNumberFormat="1" applyFont="1" applyFill="1" applyBorder="1" applyAlignment="1">
      <alignment horizontal="center"/>
    </xf>
    <xf numFmtId="8" fontId="8" fillId="7" borderId="14" xfId="0" applyNumberFormat="1" applyFont="1" applyFill="1" applyBorder="1" applyAlignment="1">
      <alignment horizontal="center"/>
    </xf>
    <xf numFmtId="8" fontId="8" fillId="7" borderId="6" xfId="0" applyNumberFormat="1" applyFont="1" applyFill="1" applyBorder="1" applyAlignment="1">
      <alignment horizontal="center"/>
    </xf>
    <xf numFmtId="8" fontId="8" fillId="7" borderId="7" xfId="0" applyNumberFormat="1" applyFont="1" applyFill="1" applyBorder="1" applyAlignment="1">
      <alignment horizontal="center"/>
    </xf>
    <xf numFmtId="8" fontId="8" fillId="7" borderId="13" xfId="0" applyNumberFormat="1" applyFont="1" applyFill="1" applyBorder="1" applyAlignment="1">
      <alignment horizontal="center"/>
    </xf>
    <xf numFmtId="0" fontId="8" fillId="7" borderId="16" xfId="0" applyFont="1" applyFill="1" applyBorder="1" applyAlignment="1">
      <alignment horizontal="left" indent="3"/>
    </xf>
    <xf numFmtId="0" fontId="8" fillId="7" borderId="17" xfId="0" applyFont="1" applyFill="1" applyBorder="1" applyAlignment="1">
      <alignment horizontal="left" indent="3"/>
    </xf>
    <xf numFmtId="0" fontId="8" fillId="7" borderId="18" xfId="0" applyFont="1" applyFill="1" applyBorder="1" applyAlignment="1">
      <alignment horizontal="left" indent="3"/>
    </xf>
    <xf numFmtId="0" fontId="8" fillId="7" borderId="19" xfId="0" applyFont="1" applyFill="1" applyBorder="1" applyAlignment="1">
      <alignment horizontal="left" indent="3"/>
    </xf>
    <xf numFmtId="0" fontId="8" fillId="7" borderId="20" xfId="0" applyFont="1" applyFill="1" applyBorder="1" applyAlignment="1">
      <alignment horizontal="left" indent="3"/>
    </xf>
    <xf numFmtId="0" fontId="8" fillId="7" borderId="21" xfId="0" applyFont="1" applyFill="1" applyBorder="1" applyAlignment="1">
      <alignment horizontal="left" indent="3"/>
    </xf>
    <xf numFmtId="0" fontId="8" fillId="7" borderId="8" xfId="0" applyFont="1" applyFill="1" applyBorder="1" applyAlignment="1">
      <alignment horizontal="left" indent="3"/>
    </xf>
    <xf numFmtId="0" fontId="8" fillId="7" borderId="10" xfId="0" applyFont="1" applyFill="1" applyBorder="1" applyAlignment="1">
      <alignment horizontal="left" indent="3"/>
    </xf>
    <xf numFmtId="0" fontId="8" fillId="7" borderId="12" xfId="0" applyFont="1" applyFill="1" applyBorder="1" applyAlignment="1">
      <alignment horizontal="left" indent="3"/>
    </xf>
    <xf numFmtId="0" fontId="6" fillId="4" borderId="1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8" fillId="7" borderId="5" xfId="0" applyNumberFormat="1" applyFont="1" applyFill="1" applyBorder="1" applyAlignment="1">
      <alignment horizontal="center"/>
    </xf>
    <xf numFmtId="0" fontId="9" fillId="6" borderId="25" xfId="0" applyFont="1" applyFill="1" applyBorder="1" applyAlignment="1">
      <alignment horizontal="left" indent="3"/>
    </xf>
    <xf numFmtId="0" fontId="9" fillId="6" borderId="26" xfId="0" applyFont="1" applyFill="1" applyBorder="1" applyAlignment="1">
      <alignment horizontal="left" indent="3"/>
    </xf>
    <xf numFmtId="8" fontId="9" fillId="6" borderId="27" xfId="0" applyNumberFormat="1" applyFont="1" applyFill="1" applyBorder="1" applyAlignment="1">
      <alignment horizontal="center"/>
    </xf>
    <xf numFmtId="0" fontId="8" fillId="7" borderId="28" xfId="0" applyFont="1" applyFill="1" applyBorder="1" applyAlignment="1">
      <alignment horizontal="left" indent="3"/>
    </xf>
    <xf numFmtId="0" fontId="8" fillId="7" borderId="29" xfId="0" applyFont="1" applyFill="1" applyBorder="1" applyAlignment="1">
      <alignment horizontal="left" indent="3"/>
    </xf>
    <xf numFmtId="10" fontId="9" fillId="0" borderId="30" xfId="0" applyNumberFormat="1" applyFont="1" applyBorder="1" applyAlignment="1">
      <alignment horizontal="center"/>
    </xf>
    <xf numFmtId="0" fontId="9" fillId="6" borderId="31" xfId="0" applyFont="1" applyFill="1" applyBorder="1" applyAlignment="1">
      <alignment horizontal="left" indent="3"/>
    </xf>
    <xf numFmtId="0" fontId="9" fillId="6" borderId="32" xfId="0" applyFont="1" applyFill="1" applyBorder="1" applyAlignment="1">
      <alignment horizontal="left" indent="3"/>
    </xf>
    <xf numFmtId="8" fontId="9" fillId="6" borderId="33" xfId="0" applyNumberFormat="1" applyFont="1" applyFill="1" applyBorder="1" applyAlignment="1">
      <alignment horizontal="center"/>
    </xf>
    <xf numFmtId="0" fontId="7" fillId="5" borderId="0" xfId="3"/>
    <xf numFmtId="164" fontId="0" fillId="7" borderId="0" xfId="0" applyNumberForma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9" fontId="0" fillId="0" borderId="0" xfId="0" applyNumberFormat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9" fontId="7" fillId="5" borderId="0" xfId="2" applyFont="1" applyFill="1"/>
    <xf numFmtId="0" fontId="2" fillId="7" borderId="0" xfId="0" applyFont="1" applyFill="1"/>
    <xf numFmtId="164" fontId="2" fillId="3" borderId="0" xfId="0" applyNumberFormat="1" applyFont="1" applyFill="1" applyAlignment="1">
      <alignment horizontal="center"/>
    </xf>
    <xf numFmtId="0" fontId="10" fillId="5" borderId="0" xfId="3" applyFont="1" applyAlignment="1">
      <alignment horizontal="center"/>
    </xf>
    <xf numFmtId="164" fontId="2" fillId="7" borderId="0" xfId="0" applyNumberFormat="1" applyFont="1" applyFill="1" applyAlignment="1">
      <alignment horizontal="center"/>
    </xf>
    <xf numFmtId="0" fontId="10" fillId="5" borderId="0" xfId="3" applyFont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91-4939-B2F1-3E301E4CBE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Planilha1!$C$32:$C$37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1-4939-B2F1-3E301E4C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102376</xdr:rowOff>
    </xdr:from>
    <xdr:to>
      <xdr:col>4</xdr:col>
      <xdr:colOff>0</xdr:colOff>
      <xdr:row>7</xdr:row>
      <xdr:rowOff>16651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4B96309D-E7E6-B2C1-71B9-E626097819FB}"/>
            </a:ext>
          </a:extLst>
        </xdr:cNvPr>
        <xdr:cNvGrpSpPr/>
      </xdr:nvGrpSpPr>
      <xdr:grpSpPr>
        <a:xfrm>
          <a:off x="609600" y="292876"/>
          <a:ext cx="5648325" cy="1057275"/>
          <a:chOff x="40298" y="531001"/>
          <a:chExt cx="6858000" cy="1057275"/>
        </a:xfrm>
      </xdr:grpSpPr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208A6579-A098-97DD-825B-9CA75DADBDBB}"/>
              </a:ext>
            </a:extLst>
          </xdr:cNvPr>
          <xdr:cNvSpPr txBox="1"/>
        </xdr:nvSpPr>
        <xdr:spPr>
          <a:xfrm>
            <a:off x="40298" y="533400"/>
            <a:ext cx="6858000" cy="1047750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 cmpd="sng">
            <a:noFill/>
          </a:ln>
          <a:effectLst>
            <a:softEdge rad="1270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5400">
                <a:solidFill>
                  <a:schemeClr val="accent5"/>
                </a:solidFill>
                <a:latin typeface="Impact" panose="020B0806030902050204" pitchFamily="34" charset="0"/>
              </a:rPr>
              <a:t>THA INVEST</a:t>
            </a:r>
          </a:p>
        </xdr:txBody>
      </xdr:sp>
      <xdr:pic>
        <xdr:nvPicPr>
          <xdr:cNvPr id="3" name="Imagem 2" descr="Gráfico de lucro financeiro">
            <a:extLst>
              <a:ext uri="{FF2B5EF4-FFF2-40B4-BE49-F238E27FC236}">
                <a16:creationId xmlns:a16="http://schemas.microsoft.com/office/drawing/2014/main" id="{FFDA32DB-DC94-3584-EA20-15357F3328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19752" y="552450"/>
            <a:ext cx="1260589" cy="1008000"/>
          </a:xfrm>
          <a:prstGeom prst="rect">
            <a:avLst/>
          </a:prstGeom>
        </xdr:spPr>
      </xdr:pic>
      <xdr:pic>
        <xdr:nvPicPr>
          <xdr:cNvPr id="5" name="Imagem 4" descr="Cofrinho em fundo branco">
            <a:extLst>
              <a:ext uri="{FF2B5EF4-FFF2-40B4-BE49-F238E27FC236}">
                <a16:creationId xmlns:a16="http://schemas.microsoft.com/office/drawing/2014/main" id="{07C4DDA5-FF99-909D-BE42-41B145612B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675" y="531001"/>
            <a:ext cx="1057275" cy="105727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728663</xdr:colOff>
      <xdr:row>38</xdr:row>
      <xdr:rowOff>23812</xdr:rowOff>
    </xdr:from>
    <xdr:to>
      <xdr:col>3</xdr:col>
      <xdr:colOff>95251</xdr:colOff>
      <xdr:row>50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9CA804-66F6-48BA-B11C-D5BA4FB64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CC57-44DF-49FD-B39F-0E7E495B3DF4}">
  <dimension ref="A8:I38"/>
  <sheetViews>
    <sheetView showGridLines="0" tabSelected="1" topLeftCell="A19" workbookViewId="0">
      <selection activeCell="E49" sqref="E49"/>
    </sheetView>
  </sheetViews>
  <sheetFormatPr defaultColWidth="0" defaultRowHeight="15" x14ac:dyDescent="0.25"/>
  <cols>
    <col min="1" max="1" width="9.140625" customWidth="1"/>
    <col min="2" max="2" width="46.7109375" customWidth="1"/>
    <col min="3" max="3" width="23.5703125" bestFit="1" customWidth="1"/>
    <col min="4" max="4" width="14.42578125" bestFit="1" customWidth="1"/>
    <col min="5" max="5" width="5.85546875" customWidth="1"/>
    <col min="6" max="6" width="4.42578125" customWidth="1"/>
    <col min="7" max="7" width="3.5703125" customWidth="1"/>
    <col min="8" max="8" width="3.28515625" customWidth="1"/>
    <col min="9" max="9" width="1" hidden="1" customWidth="1"/>
    <col min="10" max="11" width="9.140625" hidden="1" customWidth="1"/>
    <col min="12" max="16382" width="9.140625" hidden="1"/>
    <col min="16383" max="16384" width="9.140625" hidden="1" customWidth="1"/>
  </cols>
  <sheetData>
    <row r="8" spans="2:4" ht="15.75" thickBot="1" x14ac:dyDescent="0.3"/>
    <row r="9" spans="2:4" ht="26.25" x14ac:dyDescent="0.25">
      <c r="B9" s="29" t="s">
        <v>16</v>
      </c>
      <c r="C9" s="30"/>
      <c r="D9" s="31"/>
    </row>
    <row r="10" spans="2:4" ht="16.5" thickBot="1" x14ac:dyDescent="0.3">
      <c r="B10" s="20" t="s">
        <v>14</v>
      </c>
      <c r="C10" s="21"/>
      <c r="D10" s="10">
        <v>5000</v>
      </c>
    </row>
    <row r="11" spans="2:4" ht="16.5" thickBot="1" x14ac:dyDescent="0.3">
      <c r="B11" s="22" t="s">
        <v>13</v>
      </c>
      <c r="C11" s="23"/>
      <c r="D11" s="11">
        <v>6.0000000000000001E-3</v>
      </c>
    </row>
    <row r="12" spans="2:4" ht="16.5" thickBot="1" x14ac:dyDescent="0.3">
      <c r="B12" s="24" t="s">
        <v>15</v>
      </c>
      <c r="C12" s="25"/>
      <c r="D12" s="32">
        <f>D10*30%</f>
        <v>1500</v>
      </c>
    </row>
    <row r="13" spans="2:4" ht="15.75" thickBot="1" x14ac:dyDescent="0.3"/>
    <row r="14" spans="2:4" ht="26.25" x14ac:dyDescent="0.4">
      <c r="B14" s="7" t="s">
        <v>0</v>
      </c>
      <c r="C14" s="8"/>
      <c r="D14" s="9"/>
    </row>
    <row r="15" spans="2:4" ht="16.5" thickBot="1" x14ac:dyDescent="0.3">
      <c r="B15" s="20" t="s">
        <v>1</v>
      </c>
      <c r="C15" s="21"/>
      <c r="D15" s="12">
        <v>500</v>
      </c>
    </row>
    <row r="16" spans="2:4" ht="16.5" thickBot="1" x14ac:dyDescent="0.3">
      <c r="B16" s="22" t="s">
        <v>2</v>
      </c>
      <c r="C16" s="23"/>
      <c r="D16" s="13">
        <v>5</v>
      </c>
    </row>
    <row r="17" spans="1:5" ht="16.5" thickBot="1" x14ac:dyDescent="0.3">
      <c r="B17" s="36" t="s">
        <v>3</v>
      </c>
      <c r="C17" s="37"/>
      <c r="D17" s="38">
        <v>1.0800000000000001E-2</v>
      </c>
    </row>
    <row r="18" spans="1:5" ht="16.5" thickBot="1" x14ac:dyDescent="0.3">
      <c r="B18" s="39" t="s">
        <v>4</v>
      </c>
      <c r="C18" s="40"/>
      <c r="D18" s="41">
        <f>FV(taxa_mensal,qtd_anos*12,aporte*-1)</f>
        <v>41902.00967962922</v>
      </c>
    </row>
    <row r="19" spans="1:5" ht="16.5" thickBot="1" x14ac:dyDescent="0.3">
      <c r="B19" s="33" t="s">
        <v>5</v>
      </c>
      <c r="C19" s="34"/>
      <c r="D19" s="35">
        <f>patrimonio*rendimento_carteira</f>
        <v>251.41205807777533</v>
      </c>
    </row>
    <row r="20" spans="1:5" ht="15.75" thickBot="1" x14ac:dyDescent="0.3">
      <c r="B20" s="1"/>
      <c r="C20" s="2"/>
    </row>
    <row r="21" spans="1:5" ht="26.25" x14ac:dyDescent="0.4">
      <c r="B21" s="7" t="s">
        <v>11</v>
      </c>
      <c r="C21" s="8"/>
      <c r="D21" s="5" t="s">
        <v>12</v>
      </c>
      <c r="E21" s="4"/>
    </row>
    <row r="22" spans="1:5" ht="15.75" x14ac:dyDescent="0.25">
      <c r="A22" s="3">
        <v>2</v>
      </c>
      <c r="B22" s="26" t="s">
        <v>6</v>
      </c>
      <c r="C22" s="17">
        <f>FV($D$17,$A22*12,$D$15*-1)</f>
        <v>13615.431830290796</v>
      </c>
      <c r="D22" s="14">
        <f>C22*rendimento_carteira</f>
        <v>81.692590981744772</v>
      </c>
    </row>
    <row r="23" spans="1:5" ht="15.75" x14ac:dyDescent="0.25">
      <c r="A23" s="3">
        <v>5</v>
      </c>
      <c r="B23" s="27" t="s">
        <v>7</v>
      </c>
      <c r="C23" s="18">
        <f>FV($D$17,$A23*12,$D$15*-1)</f>
        <v>41902.00967962922</v>
      </c>
      <c r="D23" s="15">
        <f>C23*rendimento_carteira</f>
        <v>251.41205807777533</v>
      </c>
    </row>
    <row r="24" spans="1:5" ht="15.75" x14ac:dyDescent="0.25">
      <c r="A24" s="3">
        <v>10</v>
      </c>
      <c r="B24" s="27" t="s">
        <v>8</v>
      </c>
      <c r="C24" s="18">
        <f>FV($D$17,$A24*12,$D$15*-1)</f>
        <v>121728.83312740005</v>
      </c>
      <c r="D24" s="15">
        <f>C24*rendimento_carteira</f>
        <v>730.37299876440034</v>
      </c>
    </row>
    <row r="25" spans="1:5" ht="15.75" x14ac:dyDescent="0.25">
      <c r="A25" s="3">
        <v>20</v>
      </c>
      <c r="B25" s="27" t="s">
        <v>9</v>
      </c>
      <c r="C25" s="18">
        <f>FV($D$17,$A25*12,$D$15*-1)</f>
        <v>563524.49664926168</v>
      </c>
      <c r="D25" s="15">
        <f>C25*rendimento_carteira</f>
        <v>3381.14697989557</v>
      </c>
    </row>
    <row r="26" spans="1:5" ht="16.5" thickBot="1" x14ac:dyDescent="0.3">
      <c r="A26" s="3">
        <v>30</v>
      </c>
      <c r="B26" s="28" t="s">
        <v>10</v>
      </c>
      <c r="C26" s="19">
        <f>FV($D$17,$A26*12,$D$15*-1)</f>
        <v>2166952.4051583759</v>
      </c>
      <c r="D26" s="16">
        <f>C26*rendimento_carteira</f>
        <v>13001.714430950255</v>
      </c>
    </row>
    <row r="28" spans="1:5" x14ac:dyDescent="0.25">
      <c r="B28" s="53" t="s">
        <v>21</v>
      </c>
      <c r="C28" s="55" t="s">
        <v>17</v>
      </c>
      <c r="D28" s="55"/>
    </row>
    <row r="29" spans="1:5" x14ac:dyDescent="0.25">
      <c r="B29" s="51" t="s">
        <v>20</v>
      </c>
      <c r="C29" s="54">
        <f>aporte</f>
        <v>500</v>
      </c>
      <c r="D29" s="54"/>
    </row>
    <row r="31" spans="1:5" x14ac:dyDescent="0.25">
      <c r="B31" s="44" t="s">
        <v>22</v>
      </c>
      <c r="C31" s="44" t="s">
        <v>23</v>
      </c>
      <c r="D31" s="44" t="s">
        <v>24</v>
      </c>
    </row>
    <row r="32" spans="1:5" x14ac:dyDescent="0.25">
      <c r="B32" s="6" t="s">
        <v>25</v>
      </c>
      <c r="C32" s="46">
        <f>VLOOKUP($C$28&amp;"-"&amp;B32,Planilha2!$A$1:$D$22,4,FALSE)</f>
        <v>0.5</v>
      </c>
      <c r="D32" s="43">
        <f>C32*aporte</f>
        <v>250</v>
      </c>
    </row>
    <row r="33" spans="2:4" x14ac:dyDescent="0.25">
      <c r="B33" s="6" t="s">
        <v>26</v>
      </c>
      <c r="C33" s="46">
        <f>VLOOKUP($C$28&amp;"-"&amp;B33,Planilha2!$A$1:$D$22,4,FALSE)</f>
        <v>0.1</v>
      </c>
      <c r="D33" s="43">
        <f>C33*aporte</f>
        <v>50</v>
      </c>
    </row>
    <row r="34" spans="2:4" x14ac:dyDescent="0.25">
      <c r="B34" s="6" t="s">
        <v>27</v>
      </c>
      <c r="C34" s="46">
        <f>VLOOKUP($C$28&amp;"-"&amp;B34,Planilha2!$A$1:$D$22,4,FALSE)</f>
        <v>0.05</v>
      </c>
      <c r="D34" s="43">
        <f>C34*aporte</f>
        <v>25</v>
      </c>
    </row>
    <row r="35" spans="2:4" x14ac:dyDescent="0.25">
      <c r="B35" s="6" t="s">
        <v>28</v>
      </c>
      <c r="C35" s="46">
        <f>VLOOKUP($C$28&amp;"-"&amp;B35,Planilha2!$A$1:$D$22,4,FALSE)</f>
        <v>0.05</v>
      </c>
      <c r="D35" s="43">
        <f>C35*aporte</f>
        <v>25</v>
      </c>
    </row>
    <row r="36" spans="2:4" x14ac:dyDescent="0.25">
      <c r="B36" s="6" t="s">
        <v>29</v>
      </c>
      <c r="C36" s="46">
        <f>VLOOKUP($C$28&amp;"-"&amp;B36,Planilha2!$A$1:$D$22,4,FALSE)</f>
        <v>0.2</v>
      </c>
      <c r="D36" s="43">
        <f>C36*aporte</f>
        <v>100</v>
      </c>
    </row>
    <row r="37" spans="2:4" x14ac:dyDescent="0.25">
      <c r="B37" s="6" t="s">
        <v>30</v>
      </c>
      <c r="C37" s="46">
        <f>VLOOKUP($C$28&amp;"-"&amp;B37,Planilha2!$A$1:$D$22,4,FALSE)</f>
        <v>0.1</v>
      </c>
      <c r="D37" s="43">
        <f>C37*aporte</f>
        <v>50</v>
      </c>
    </row>
    <row r="38" spans="2:4" x14ac:dyDescent="0.25">
      <c r="B38" s="45"/>
      <c r="C38" s="45"/>
      <c r="D38" s="52">
        <f>SUM(D32:D37)</f>
        <v>500</v>
      </c>
    </row>
  </sheetData>
  <mergeCells count="13">
    <mergeCell ref="C29:D29"/>
    <mergeCell ref="C28:D28"/>
    <mergeCell ref="B9:D9"/>
    <mergeCell ref="B10:C10"/>
    <mergeCell ref="B11:C11"/>
    <mergeCell ref="B12:C12"/>
    <mergeCell ref="B14:D14"/>
    <mergeCell ref="B21:C21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C28" xr:uid="{EA4EF3BE-1797-49A3-9DBE-10CD05FFF3D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FE99-BEBB-4D17-B174-5CF9593BA384}">
  <dimension ref="A2:I20"/>
  <sheetViews>
    <sheetView workbookViewId="0">
      <selection activeCell="D13" sqref="D13"/>
    </sheetView>
  </sheetViews>
  <sheetFormatPr defaultRowHeight="15" x14ac:dyDescent="0.25"/>
  <cols>
    <col min="1" max="1" width="33" bestFit="1" customWidth="1"/>
    <col min="2" max="2" width="14.42578125" bestFit="1" customWidth="1"/>
    <col min="3" max="3" width="18.5703125" bestFit="1" customWidth="1"/>
    <col min="6" max="6" width="18.28515625" bestFit="1" customWidth="1"/>
  </cols>
  <sheetData>
    <row r="2" spans="1:9" x14ac:dyDescent="0.25">
      <c r="A2" t="s">
        <v>32</v>
      </c>
      <c r="B2" t="s">
        <v>21</v>
      </c>
      <c r="C2" t="s">
        <v>22</v>
      </c>
      <c r="D2" t="s">
        <v>31</v>
      </c>
    </row>
    <row r="3" spans="1:9" x14ac:dyDescent="0.25">
      <c r="A3" t="str">
        <f>B3&amp;"-"&amp;C3</f>
        <v>CONSERVADOR-PAPEL</v>
      </c>
      <c r="B3" t="s">
        <v>18</v>
      </c>
      <c r="C3" s="6" t="s">
        <v>25</v>
      </c>
      <c r="D3" s="46">
        <v>0.3</v>
      </c>
    </row>
    <row r="4" spans="1:9" x14ac:dyDescent="0.25">
      <c r="A4" t="str">
        <f t="shared" ref="A4:A20" si="0">B4&amp;"-"&amp;C4</f>
        <v>CONSERVADOR-TIJOLO</v>
      </c>
      <c r="B4" t="s">
        <v>18</v>
      </c>
      <c r="C4" s="6" t="s">
        <v>26</v>
      </c>
      <c r="D4" s="46">
        <v>0.5</v>
      </c>
    </row>
    <row r="5" spans="1:9" x14ac:dyDescent="0.25">
      <c r="A5" t="str">
        <f t="shared" si="0"/>
        <v>CONSERVADOR-HÍBRIDOS</v>
      </c>
      <c r="B5" t="s">
        <v>18</v>
      </c>
      <c r="C5" s="6" t="s">
        <v>27</v>
      </c>
      <c r="D5" s="46">
        <v>0.1</v>
      </c>
      <c r="G5" t="s">
        <v>31</v>
      </c>
    </row>
    <row r="6" spans="1:9" x14ac:dyDescent="0.25">
      <c r="A6" t="str">
        <f t="shared" si="0"/>
        <v>CONSERVADOR-FOFs</v>
      </c>
      <c r="B6" t="s">
        <v>18</v>
      </c>
      <c r="C6" s="6" t="s">
        <v>28</v>
      </c>
      <c r="D6" s="46">
        <v>0.1</v>
      </c>
      <c r="F6" s="42" t="s">
        <v>33</v>
      </c>
      <c r="G6" s="50">
        <f>VLOOKUP(F6,$A:$D,4,FALSE)</f>
        <v>0.35</v>
      </c>
      <c r="H6" s="42"/>
      <c r="I6" s="42"/>
    </row>
    <row r="7" spans="1:9" x14ac:dyDescent="0.25">
      <c r="A7" t="str">
        <f t="shared" si="0"/>
        <v>CONSERVADOR-DESENVOLVIMENTO</v>
      </c>
      <c r="B7" t="s">
        <v>18</v>
      </c>
      <c r="C7" s="6" t="s">
        <v>29</v>
      </c>
      <c r="D7" s="46">
        <v>0</v>
      </c>
    </row>
    <row r="8" spans="1:9" ht="15.75" thickBot="1" x14ac:dyDescent="0.3">
      <c r="A8" s="47" t="str">
        <f t="shared" si="0"/>
        <v>CONSERVADOR-HOTELARIA</v>
      </c>
      <c r="B8" s="47" t="s">
        <v>18</v>
      </c>
      <c r="C8" s="48" t="s">
        <v>30</v>
      </c>
      <c r="D8" s="49">
        <v>0</v>
      </c>
    </row>
    <row r="9" spans="1:9" x14ac:dyDescent="0.25">
      <c r="A9" t="str">
        <f t="shared" si="0"/>
        <v>MODERADO-PAPEL</v>
      </c>
      <c r="B9" t="s">
        <v>19</v>
      </c>
      <c r="C9" s="6" t="s">
        <v>25</v>
      </c>
      <c r="D9" s="46">
        <v>0.32</v>
      </c>
    </row>
    <row r="10" spans="1:9" x14ac:dyDescent="0.25">
      <c r="A10" t="str">
        <f t="shared" si="0"/>
        <v>MODERADO-TIJOLO</v>
      </c>
      <c r="B10" t="s">
        <v>19</v>
      </c>
      <c r="C10" s="6" t="s">
        <v>26</v>
      </c>
      <c r="D10" s="46">
        <v>0.35</v>
      </c>
    </row>
    <row r="11" spans="1:9" x14ac:dyDescent="0.25">
      <c r="A11" t="str">
        <f t="shared" si="0"/>
        <v>MODERADO-HÍBRIDOS</v>
      </c>
      <c r="B11" t="s">
        <v>19</v>
      </c>
      <c r="C11" s="6" t="s">
        <v>27</v>
      </c>
      <c r="D11" s="46">
        <v>0.08</v>
      </c>
    </row>
    <row r="12" spans="1:9" x14ac:dyDescent="0.25">
      <c r="A12" t="str">
        <f t="shared" si="0"/>
        <v>MODERADO-FOFs</v>
      </c>
      <c r="B12" t="s">
        <v>19</v>
      </c>
      <c r="C12" s="6" t="s">
        <v>28</v>
      </c>
      <c r="D12" s="46">
        <v>0.05</v>
      </c>
    </row>
    <row r="13" spans="1:9" x14ac:dyDescent="0.25">
      <c r="A13" t="str">
        <f t="shared" si="0"/>
        <v>MODERADO-DESENVOLVIMENTO</v>
      </c>
      <c r="B13" t="s">
        <v>19</v>
      </c>
      <c r="C13" s="6" t="s">
        <v>29</v>
      </c>
      <c r="D13" s="46">
        <v>0.1</v>
      </c>
    </row>
    <row r="14" spans="1:9" ht="15.75" thickBot="1" x14ac:dyDescent="0.3">
      <c r="A14" s="47" t="str">
        <f t="shared" si="0"/>
        <v>MODERADO-HOTELARIA</v>
      </c>
      <c r="B14" s="47" t="s">
        <v>19</v>
      </c>
      <c r="C14" s="48" t="s">
        <v>30</v>
      </c>
      <c r="D14" s="49">
        <v>0.1</v>
      </c>
    </row>
    <row r="15" spans="1:9" x14ac:dyDescent="0.25">
      <c r="A15" t="str">
        <f t="shared" si="0"/>
        <v>AGRESSIVO-PAPEL</v>
      </c>
      <c r="B15" t="s">
        <v>17</v>
      </c>
      <c r="C15" s="6" t="s">
        <v>25</v>
      </c>
      <c r="D15" s="46">
        <v>0.5</v>
      </c>
    </row>
    <row r="16" spans="1:9" x14ac:dyDescent="0.25">
      <c r="A16" t="str">
        <f t="shared" si="0"/>
        <v>AGRESSIVO-TIJOLO</v>
      </c>
      <c r="B16" t="s">
        <v>17</v>
      </c>
      <c r="C16" s="6" t="s">
        <v>26</v>
      </c>
      <c r="D16" s="46">
        <v>0.1</v>
      </c>
    </row>
    <row r="17" spans="1:4" x14ac:dyDescent="0.25">
      <c r="A17" t="str">
        <f t="shared" si="0"/>
        <v>AGRESSIVO-HÍBRIDOS</v>
      </c>
      <c r="B17" t="s">
        <v>17</v>
      </c>
      <c r="C17" s="6" t="s">
        <v>27</v>
      </c>
      <c r="D17" s="46">
        <v>0.05</v>
      </c>
    </row>
    <row r="18" spans="1:4" x14ac:dyDescent="0.25">
      <c r="A18" t="str">
        <f t="shared" si="0"/>
        <v>AGRESSIVO-FOFs</v>
      </c>
      <c r="B18" t="s">
        <v>17</v>
      </c>
      <c r="C18" s="6" t="s">
        <v>28</v>
      </c>
      <c r="D18" s="46">
        <v>0.05</v>
      </c>
    </row>
    <row r="19" spans="1:4" x14ac:dyDescent="0.25">
      <c r="A19" t="str">
        <f t="shared" si="0"/>
        <v>AGRESSIVO-DESENVOLVIMENTO</v>
      </c>
      <c r="B19" t="s">
        <v>17</v>
      </c>
      <c r="C19" s="6" t="s">
        <v>29</v>
      </c>
      <c r="D19" s="46">
        <v>0.2</v>
      </c>
    </row>
    <row r="20" spans="1:4" x14ac:dyDescent="0.25">
      <c r="A20" t="str">
        <f t="shared" si="0"/>
        <v>AGRESSIVO-HOTELARIA</v>
      </c>
      <c r="B20" t="s">
        <v>17</v>
      </c>
      <c r="C20" s="6" t="s">
        <v>30</v>
      </c>
      <c r="D20" s="4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susgetao_investimento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 CIDADE LIDER I | SALA NASF</dc:creator>
  <cp:lastModifiedBy>UBS CIDADE LIDER I | SALA NASF</cp:lastModifiedBy>
  <dcterms:created xsi:type="dcterms:W3CDTF">2026-10-15T10:05:52Z</dcterms:created>
  <dcterms:modified xsi:type="dcterms:W3CDTF">2026-10-16T12:21:48Z</dcterms:modified>
</cp:coreProperties>
</file>